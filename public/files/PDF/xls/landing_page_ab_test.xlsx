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t\Desktop\landing page projects\"/>
    </mc:Choice>
  </mc:AlternateContent>
  <xr:revisionPtr revIDLastSave="0" documentId="13_ncr:1_{99C3159C-A4BA-469B-A819-3AB012647F50}" xr6:coauthVersionLast="47" xr6:coauthVersionMax="47" xr10:uidLastSave="{00000000-0000-0000-0000-000000000000}"/>
  <bookViews>
    <workbookView xWindow="-118" yWindow="-118" windowWidth="25370" windowHeight="15238" xr2:uid="{67397C25-6383-407F-B59C-B596F2C6932E}"/>
  </bookViews>
  <sheets>
    <sheet name="landing_page_test" sheetId="1" r:id="rId1"/>
  </sheets>
  <definedNames>
    <definedName name="ExternalData_1" localSheetId="0" hidden="1">landing_page_test!$A$1:$D$3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6" i="1"/>
  <c r="K5" i="1"/>
  <c r="K4" i="1"/>
  <c r="K3" i="1"/>
  <c r="K2" i="1"/>
  <c r="H1" i="1"/>
  <c r="E2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971CA-E2E3-4CE1-8C8A-890EE62B7207}" keepAlive="1" name="Query - landing_page_test" description="Connection to the 'landing_page_test' query in the workbook." type="5" refreshedVersion="8" background="1" saveData="1">
    <dbPr connection="Provider=Microsoft.Mashup.OleDb.1;Data Source=$Workbook$;Location=landing_page_test;Extended Properties=&quot;&quot;" command="SELECT * FROM [landing_page_test]"/>
  </connection>
  <connection id="2" xr16:uid="{8BA1B6E8-5F6E-41B3-9291-77C33E0D1BDD}" keepAlive="1" name="Query - website_pageviews" description="Connection to the 'website_pageviews' query in the workbook." type="5" refreshedVersion="0" background="1">
    <dbPr connection="Provider=Microsoft.Mashup.OleDb.1;Data Source=$Workbook$;Location=website_pageviews;Extended Properties=&quot;&quot;" command="SELECT * FROM [website_pageviews]"/>
  </connection>
  <connection id="3" xr16:uid="{1987667C-0D22-4199-B4F8-382B35933441}" keepAlive="1" name="Query - website_sessions" description="Connection to the 'website_sessions' query in the workbook." type="5" refreshedVersion="0" background="1">
    <dbPr connection="Provider=Microsoft.Mashup.OleDb.1;Data Source=$Workbook$;Location=website_sessions;Extended Properties=&quot;&quot;" command="SELECT * FROM [website_sessions]"/>
  </connection>
</connections>
</file>

<file path=xl/sharedStrings.xml><?xml version="1.0" encoding="utf-8"?>
<sst xmlns="http://schemas.openxmlformats.org/spreadsheetml/2006/main" count="16" uniqueCount="16">
  <si>
    <t>landing_page</t>
  </si>
  <si>
    <t>sessions</t>
  </si>
  <si>
    <t>bounced_sessions</t>
  </si>
  <si>
    <t>bounce_rate</t>
  </si>
  <si>
    <t>/lander-1</t>
  </si>
  <si>
    <t>/home</t>
  </si>
  <si>
    <t>1-p</t>
  </si>
  <si>
    <t>p1 - p2:</t>
  </si>
  <si>
    <t>Confidence level :</t>
  </si>
  <si>
    <t xml:space="preserve">Alpha: </t>
  </si>
  <si>
    <t>Alpha/2:</t>
  </si>
  <si>
    <t>Z:</t>
  </si>
  <si>
    <t xml:space="preserve">Standard Error: </t>
  </si>
  <si>
    <t>Margin of Error:</t>
  </si>
  <si>
    <t>lower limit:</t>
  </si>
  <si>
    <t>upper limit: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</si>
</sst>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000"/>
    <numFmt numFmtId="167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er cent" xfId="1" builtinId="5"/>
  </cellStyles>
  <dxfs count="3">
    <dxf>
      <numFmt numFmtId="164" formatCode="0.0%"/>
    </dxf>
    <dxf>
      <numFmt numFmtId="164" formatCode="0.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473825</xdr:colOff>
      <xdr:row>11</xdr:row>
      <xdr:rowOff>149630</xdr:rowOff>
    </xdr:from>
    <xdr:to>
      <xdr:col>12</xdr:col>
      <xdr:colOff>266006</xdr:colOff>
      <xdr:row>17</xdr:row>
      <xdr:rowOff>66504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EBC96-11E1-176A-DFE6-FDB5ABEB68FF}"/>
            </a:ext>
          </a:extLst>
        </xdr:cNvPr>
        <xdr:cNvSpPr txBox="1"/>
      </xdr:nvSpPr>
      <xdr:spPr>
        <a:xfrm>
          <a:off x="6434050" y="2252750"/>
          <a:ext cx="4513811" cy="1064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There is the 95% of probability that the</a:t>
          </a:r>
          <a:r>
            <a:rPr lang="en-GB" sz="1100" baseline="0"/>
            <a:t> bounce rate for the home page is between 2.2% and 8% greater than the landing page bounce rate. </a:t>
          </a:r>
          <a:br>
            <a:rPr lang="en-GB" sz="1100" baseline="0"/>
          </a:br>
          <a:endParaRPr lang="en-GB" sz="1100" baseline="0"/>
        </a:p>
        <a:p>
          <a:r>
            <a:rPr lang="en-GB" sz="1100" baseline="0"/>
            <a:t>And because they are both higher than 0, we can be 95% confident that the new landing page has a lower bounce rate. </a:t>
          </a:r>
          <a:endParaRPr lang="en-GB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2B7D2E-DB55-449A-BAB4-6013213CA9A4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landing_page" tableColumnId="1"/>
      <queryTableField id="2" name="sessions" tableColumnId="2"/>
      <queryTableField id="3" name="bounced_sessions" tableColumnId="3"/>
      <queryTableField id="4" name="bounce_rat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5BDDA-557E-481C-9796-D8AC2356BCE7}" name="landing_page_test" displayName="landing_page_test" ref="A1:E3" tableType="queryTable" totalsRowShown="0">
  <autoFilter ref="A1:E3" xr:uid="{3D75BDDA-557E-481C-9796-D8AC2356BCE7}"/>
  <tableColumns count="5">
    <tableColumn id="1" xr3:uid="{EF557579-87AA-4EF4-BDB5-80320AB81380}" uniqueName="1" name="landing_page" queryTableFieldId="1" dataDxfId="2"/>
    <tableColumn id="2" xr3:uid="{62C2F5FD-70CE-4703-83EC-501D7B157A4B}" uniqueName="2" name="sessions" queryTableFieldId="2"/>
    <tableColumn id="3" xr3:uid="{3ABEE27B-42B4-465C-B40E-A30899037C59}" uniqueName="3" name="bounced_sessions" queryTableFieldId="3"/>
    <tableColumn id="4" xr3:uid="{94603501-30CB-4EAF-B969-52411E00788F}" uniqueName="4" name="bounce_rate" queryTableFieldId="4" dataDxfId="1" dataCellStyle="Per cent"/>
    <tableColumn id="5" xr3:uid="{C3C4C2A9-F9FF-4E7E-9818-3825166C28CB}" uniqueName="5" name="1-p" queryTableFieldId="5" dataDxfId="0" dataCellStyle="Per cent">
      <calculatedColumnFormula>1-landing_page_test[[#This Row],[bounce_rate]]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BF38-3329-4C94-B5C8-4E219095E2B7}">
  <dimension ref="A1:K11"/>
  <sheetViews>
    <sheetView tabSelected="1" workbookViewId="0">
      <selection activeCell="E15" sqref="E15"/>
    </sheetView>
  </sheetViews>
  <sheetFormatPr defaultRowHeight="15.05" x14ac:dyDescent="0.3"/>
  <cols>
    <col min="1" max="1" width="13.33203125" bestFit="1" customWidth="1"/>
    <col min="2" max="2" width="10" bestFit="1" customWidth="1"/>
    <col min="3" max="3" width="17.77734375" bestFit="1" customWidth="1"/>
    <col min="4" max="4" width="12.77734375" bestFit="1" customWidth="1"/>
    <col min="10" max="10" width="18.5546875" customWidth="1"/>
    <col min="11" max="11" width="17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G1" t="s">
        <v>7</v>
      </c>
      <c r="H1" s="3">
        <f>D3-D2</f>
        <v>5.0986770492217004E-2</v>
      </c>
      <c r="J1" t="s">
        <v>8</v>
      </c>
      <c r="K1" s="4">
        <v>0.95</v>
      </c>
    </row>
    <row r="2" spans="1:11" x14ac:dyDescent="0.3">
      <c r="A2" s="1" t="s">
        <v>4</v>
      </c>
      <c r="B2">
        <v>2316</v>
      </c>
      <c r="C2">
        <v>1233</v>
      </c>
      <c r="D2" s="2">
        <v>0.53238341968911895</v>
      </c>
      <c r="E2" s="2">
        <f>1-landing_page_test[[#This Row],[bounce_rate]]</f>
        <v>0.46761658031088105</v>
      </c>
      <c r="J2" t="s">
        <v>9</v>
      </c>
      <c r="K2" s="5">
        <f>1-K1</f>
        <v>5.0000000000000044E-2</v>
      </c>
    </row>
    <row r="3" spans="1:11" x14ac:dyDescent="0.3">
      <c r="A3" s="1" t="s">
        <v>5</v>
      </c>
      <c r="B3">
        <v>2261</v>
      </c>
      <c r="C3">
        <v>1319</v>
      </c>
      <c r="D3" s="2">
        <v>0.58337019018133596</v>
      </c>
      <c r="E3" s="2">
        <f>1-landing_page_test[[#This Row],[bounce_rate]]</f>
        <v>0.41662980981866404</v>
      </c>
      <c r="J3" t="s">
        <v>10</v>
      </c>
      <c r="K3">
        <f>K2/2</f>
        <v>2.5000000000000022E-2</v>
      </c>
    </row>
    <row r="4" spans="1:11" x14ac:dyDescent="0.3">
      <c r="J4" t="s">
        <v>11</v>
      </c>
      <c r="K4" s="5">
        <f>_xlfn.NORM.S.INV(K3)</f>
        <v>-1.9599639845400536</v>
      </c>
    </row>
    <row r="5" spans="1:11" x14ac:dyDescent="0.3">
      <c r="J5" t="s">
        <v>12</v>
      </c>
      <c r="K5" s="6">
        <f>SQRT(SUM(D3*E3/B3,D2*E2/B2))</f>
        <v>1.46624811811069E-2</v>
      </c>
    </row>
    <row r="6" spans="1:11" x14ac:dyDescent="0.3">
      <c r="J6" t="s">
        <v>13</v>
      </c>
      <c r="K6" s="7">
        <f>K4*K5</f>
        <v>-2.873793503896583E-2</v>
      </c>
    </row>
    <row r="10" spans="1:11" x14ac:dyDescent="0.3">
      <c r="J10" t="s">
        <v>14</v>
      </c>
      <c r="K10" s="3">
        <f>H1+K6</f>
        <v>2.2248835453251174E-2</v>
      </c>
    </row>
    <row r="11" spans="1:11" x14ac:dyDescent="0.3">
      <c r="J11" t="s">
        <v>15</v>
      </c>
      <c r="K11" s="3">
        <f>H1-K6</f>
        <v>7.9724705531182827E-2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0B14F5-9272-4604-AA25-CF071A8E5E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landing_page_test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2026-01-17T18:05:05Z</dcterms:created>
  <dcterms:modified xsi:type="dcterms:W3CDTF">2026-01-19T15:26:44Z</dcterms:modified>
</cp:coreProperties>
</file>